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ba-LGR\Ramal Avellaneda - La Plata\9. Centro Compacto\"/>
    </mc:Choice>
  </mc:AlternateContent>
  <bookViews>
    <workbookView xWindow="0" yWindow="0" windowWidth="24240" windowHeight="12435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28" i="1" l="1"/>
  <c r="AA26" i="1"/>
  <c r="AA24" i="1"/>
  <c r="AA22" i="1"/>
  <c r="AA20" i="1"/>
  <c r="AA18" i="1"/>
  <c r="AA16" i="1"/>
  <c r="AA14" i="1"/>
  <c r="AA12" i="1"/>
  <c r="AA10" i="1"/>
  <c r="AA8" i="1"/>
</calcChain>
</file>

<file path=xl/sharedStrings.xml><?xml version="1.0" encoding="utf-8"?>
<sst xmlns="http://schemas.openxmlformats.org/spreadsheetml/2006/main" count="62" uniqueCount="52">
  <si>
    <t>CENTROS COMPACTOS DE TRANSFORMACIÓN PARA ALIMENTACIÓN ELÉCTRICA A LAS ESTACIONES DE LA LÍNEA ROCA EN EL TRAMO AVELLANEDA - LA PLATA</t>
  </si>
  <si>
    <t>Descripción</t>
  </si>
  <si>
    <t>Item</t>
  </si>
  <si>
    <t>Un.</t>
  </si>
  <si>
    <t>Sarandí</t>
  </si>
  <si>
    <t>Va.Domínico</t>
  </si>
  <si>
    <t>Wilde</t>
  </si>
  <si>
    <t>Don Bosco</t>
  </si>
  <si>
    <t>Bernal</t>
  </si>
  <si>
    <t>Quilmes</t>
  </si>
  <si>
    <t>Ezpeleta</t>
  </si>
  <si>
    <t>Berazategui</t>
  </si>
  <si>
    <t>Platanos</t>
  </si>
  <si>
    <t>Hudson</t>
  </si>
  <si>
    <t>P.Iraola</t>
  </si>
  <si>
    <t>Va.Elisa</t>
  </si>
  <si>
    <t>City Bell</t>
  </si>
  <si>
    <t>Gonnet</t>
  </si>
  <si>
    <t>Ringuelet</t>
  </si>
  <si>
    <t>Tolosa</t>
  </si>
  <si>
    <t>La Plata</t>
  </si>
  <si>
    <t>Va.España</t>
  </si>
  <si>
    <t>Ranelagh</t>
  </si>
  <si>
    <t>Sourigues</t>
  </si>
  <si>
    <t>Cantidades</t>
  </si>
  <si>
    <t>Totales</t>
  </si>
  <si>
    <t>gl.</t>
  </si>
  <si>
    <t>Centro de transformación de hormigón armado monobloque con capacidad hasta 315kVA y 13,2kV. Con dos espacios separados en su interior para alojar el transformador y las protecciones y maniobras en BT. Accesos independientes a ambos espacios. Fabricación según normas IEC 61330 y UNE 1303A. Tipo Chango 315 de Autotrol o similar</t>
  </si>
  <si>
    <t>Centro de transformación de hormigón armado monobloque con capacidad hasta 315kVA y 13,2kV. Con tres espacios separados en su interior para alojar celdas de MT, el transformador y las protecciones y maniobras en BT. Accesos independientes a ambos espacios. Fabricación según normas IEC 61330 y UNE 1303A. Tipo Chango MTB de Autotrol o similar</t>
  </si>
  <si>
    <t>Celda prefabricada modular compacta de uso interior de envolvente metálica s/IEC298 apta para 13,2kV. Función: unidad para la conexión de cables de entrada. Tipo GAM2 de Schneider electric SM6 24kV o similar</t>
  </si>
  <si>
    <t>Celda prefabricada modular compacta de uso interior de envolvente metálica s/IEC298 apta para 13,2kV. Función: unidad de maniobra y protección. Tipo QM de Schneider electric SM6 24kV o similar</t>
  </si>
  <si>
    <t>Fusible HHC para celda tipo QM</t>
  </si>
  <si>
    <t>Transformador trifásico de distribución de aislación seca. Potencia 40kVA (13,2/0,4-0,231kV). Conexión Dyn11. Conmutador 5 posiciones (+/-5%) s/norma IRAM</t>
  </si>
  <si>
    <t>Transformador trifásico de distribución de aislación seca. Potencia 63kVA (13,2/0,4-0,231kV). Conexión Dyn11. Conmutador 5 posiciones (+/-5%) s/norma IRAM</t>
  </si>
  <si>
    <t>Transformador trifásico de distribución de aislación seca. Potencia 100kVA (13,2/0,4-0,231kV). Conexión Dyn11. Conmutador 5 posiciones (+/-5%) s/norma IRAM</t>
  </si>
  <si>
    <t>Tablero de BT formado por 2 seccionadores fusibles bajo carga tripolares de apertura por fase NHT02 400 marca Pfisterer o similar, gabinete, barras, conexionado, accesorios.</t>
  </si>
  <si>
    <t>Kit de 3 terminales para cable de MT tipo interior, marca 3M QT II modelo 5623 código 45682</t>
  </si>
  <si>
    <t>Nota:</t>
  </si>
  <si>
    <t>Los centros compactos de transformación se entregarán armados incluyendo:</t>
  </si>
  <si>
    <t>&gt; cables y terminales de BT para interconexión del transformador y tablero de BT</t>
  </si>
  <si>
    <t>&gt; cables y terminales de MT para interconexión entre el transformador y celdas de MT</t>
  </si>
  <si>
    <t>&gt; puerta de acceso a transformador para maniobra exterior</t>
  </si>
  <si>
    <t>&gt; puerta de acceso a tablero de BT para maniobra exterior</t>
  </si>
  <si>
    <t>&gt; puerta de acceso a tablero de MT para maniobra exterior</t>
  </si>
  <si>
    <t>&gt; sistema de iluminación interior normal y de emergencia</t>
  </si>
  <si>
    <t>&gt; sistema de puesta a tierra interior</t>
  </si>
  <si>
    <t>&gt; cerrojos de puertas homologadas por el ENRE</t>
  </si>
  <si>
    <t>&gt; montaje electromecánico en fábrica del equipamiento interno TBT/Transformador</t>
  </si>
  <si>
    <t>&gt; soporte técnico in situ para instalación y puesta en servicio</t>
  </si>
  <si>
    <t>Los precios cotizados deben ser con los CCT puestos en obra</t>
  </si>
  <si>
    <t>Se deberán entregar los protocolos de ensayo de cada Centro Compacto de Transformación terminado.</t>
  </si>
  <si>
    <t>Transformador trifásico de distribución de aislación seca. Potencia200kVA (13,2/0,4-0,231kV). Conexión Dyn11. Conmutador 5 posiciones (+/-5%) s/norma IRAM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</si>
</sst>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Views>
    <sheetView tabSelected="1" workbookViewId="0">
      <pane ySplit="6" topLeftCell="A18" activePane="bottomLeft" state="frozen"/>
      <selection activeCell="B1" sqref="B1"/>
      <selection pane="bottomLeft" activeCell="R20" sqref="R20"/>
    </sheetView>
  </sheetViews>
  <sheetFormatPr baseColWidth="10" defaultColWidth="10.7109375" defaultRowHeight="15" x14ac:dyDescent="0.25"/>
  <cols>
    <col min="1" max="1" width="8.140625" customWidth="1"/>
    <col min="6" max="6" width="6" customWidth="1"/>
    <col min="7" max="27" width="9.7109375" customWidth="1"/>
  </cols>
  <sheetData>
    <row r="1" spans="1:27" x14ac:dyDescent="0.25">
      <c r="A1" s="1" t="s">
        <v>0</v>
      </c>
    </row>
    <row r="5" spans="1:27" x14ac:dyDescent="0.25">
      <c r="A5" s="2" t="s">
        <v>2</v>
      </c>
      <c r="B5" s="4" t="s">
        <v>1</v>
      </c>
      <c r="C5" s="5"/>
      <c r="D5" s="5"/>
      <c r="E5" s="6"/>
      <c r="F5" s="2" t="s">
        <v>3</v>
      </c>
      <c r="G5" s="17" t="s">
        <v>24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9"/>
    </row>
    <row r="6" spans="1:27" x14ac:dyDescent="0.25">
      <c r="A6" s="3"/>
      <c r="B6" s="7"/>
      <c r="C6" s="8"/>
      <c r="D6" s="8"/>
      <c r="E6" s="9"/>
      <c r="F6" s="3"/>
      <c r="G6" s="13" t="s">
        <v>4</v>
      </c>
      <c r="H6" s="14" t="s">
        <v>5</v>
      </c>
      <c r="I6" s="14" t="s">
        <v>6</v>
      </c>
      <c r="J6" s="14" t="s">
        <v>7</v>
      </c>
      <c r="K6" s="14" t="s">
        <v>8</v>
      </c>
      <c r="L6" s="14" t="s">
        <v>9</v>
      </c>
      <c r="M6" s="14" t="s">
        <v>10</v>
      </c>
      <c r="N6" s="14" t="s">
        <v>11</v>
      </c>
      <c r="O6" s="14" t="s">
        <v>12</v>
      </c>
      <c r="P6" s="14" t="s">
        <v>13</v>
      </c>
      <c r="Q6" s="14" t="s">
        <v>14</v>
      </c>
      <c r="R6" s="14" t="s">
        <v>15</v>
      </c>
      <c r="S6" s="14" t="s">
        <v>16</v>
      </c>
      <c r="T6" s="14" t="s">
        <v>17</v>
      </c>
      <c r="U6" s="14" t="s">
        <v>18</v>
      </c>
      <c r="V6" s="14" t="s">
        <v>19</v>
      </c>
      <c r="W6" s="14" t="s">
        <v>20</v>
      </c>
      <c r="X6" s="14" t="s">
        <v>21</v>
      </c>
      <c r="Y6" s="14" t="s">
        <v>22</v>
      </c>
      <c r="Z6" s="14" t="s">
        <v>23</v>
      </c>
      <c r="AA6" s="14" t="s">
        <v>25</v>
      </c>
    </row>
    <row r="8" spans="1:27" ht="90" customHeight="1" x14ac:dyDescent="0.25">
      <c r="A8" s="11">
        <v>1</v>
      </c>
      <c r="B8" s="15" t="s">
        <v>27</v>
      </c>
      <c r="C8" s="15"/>
      <c r="D8" s="15"/>
      <c r="E8" s="15"/>
      <c r="F8" s="11" t="s">
        <v>26</v>
      </c>
      <c r="G8" s="11"/>
      <c r="H8" s="11">
        <v>1</v>
      </c>
      <c r="I8" s="11">
        <v>1</v>
      </c>
      <c r="J8" s="11">
        <v>1</v>
      </c>
      <c r="K8" s="11">
        <v>1</v>
      </c>
      <c r="L8" s="11"/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/>
      <c r="X8" s="11">
        <v>1</v>
      </c>
      <c r="Y8" s="11">
        <v>1</v>
      </c>
      <c r="Z8" s="11">
        <v>1</v>
      </c>
      <c r="AA8" s="12">
        <f>SUM(G8:Z8)</f>
        <v>17</v>
      </c>
    </row>
    <row r="10" spans="1:27" ht="90" customHeight="1" x14ac:dyDescent="0.25">
      <c r="A10" s="11">
        <v>2</v>
      </c>
      <c r="B10" s="15" t="s">
        <v>28</v>
      </c>
      <c r="C10" s="15"/>
      <c r="D10" s="15"/>
      <c r="E10" s="15"/>
      <c r="F10" s="11" t="s">
        <v>26</v>
      </c>
      <c r="G10" s="11">
        <v>1</v>
      </c>
      <c r="H10" s="11"/>
      <c r="I10" s="11"/>
      <c r="J10" s="11"/>
      <c r="K10" s="11"/>
      <c r="L10" s="11">
        <v>1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>
        <v>1</v>
      </c>
      <c r="X10" s="11"/>
      <c r="Y10" s="11"/>
      <c r="Z10" s="11"/>
      <c r="AA10" s="12">
        <f>SUM(G10:Z10)</f>
        <v>3</v>
      </c>
    </row>
    <row r="12" spans="1:27" ht="50.1" customHeight="1" x14ac:dyDescent="0.25">
      <c r="A12" s="11">
        <v>3</v>
      </c>
      <c r="B12" s="15" t="s">
        <v>29</v>
      </c>
      <c r="C12" s="15"/>
      <c r="D12" s="15"/>
      <c r="E12" s="15"/>
      <c r="F12" s="11" t="s">
        <v>26</v>
      </c>
      <c r="G12" s="11">
        <v>1</v>
      </c>
      <c r="H12" s="11"/>
      <c r="I12" s="11"/>
      <c r="J12" s="11"/>
      <c r="K12" s="11"/>
      <c r="L12" s="11">
        <v>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>
        <v>1</v>
      </c>
      <c r="X12" s="11"/>
      <c r="Y12" s="11"/>
      <c r="Z12" s="11"/>
      <c r="AA12" s="12">
        <f>SUM(G12:Z12)</f>
        <v>3</v>
      </c>
    </row>
    <row r="14" spans="1:27" ht="50.1" customHeight="1" x14ac:dyDescent="0.25">
      <c r="A14" s="11">
        <v>4</v>
      </c>
      <c r="B14" s="15" t="s">
        <v>30</v>
      </c>
      <c r="C14" s="15"/>
      <c r="D14" s="15"/>
      <c r="E14" s="15"/>
      <c r="F14" s="11" t="s">
        <v>26</v>
      </c>
      <c r="G14" s="11">
        <v>1</v>
      </c>
      <c r="H14" s="11"/>
      <c r="I14" s="11"/>
      <c r="J14" s="11"/>
      <c r="K14" s="11"/>
      <c r="L14" s="11">
        <v>1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>
        <v>1</v>
      </c>
      <c r="X14" s="11"/>
      <c r="Y14" s="11"/>
      <c r="Z14" s="11"/>
      <c r="AA14" s="12">
        <f>SUM(G14:Z14)</f>
        <v>3</v>
      </c>
    </row>
    <row r="16" spans="1:27" x14ac:dyDescent="0.25">
      <c r="A16" s="10">
        <v>5</v>
      </c>
      <c r="B16" t="s">
        <v>31</v>
      </c>
      <c r="F16" s="10" t="s">
        <v>26</v>
      </c>
      <c r="G16" s="10">
        <v>3</v>
      </c>
      <c r="H16" s="10"/>
      <c r="I16" s="10"/>
      <c r="J16" s="10"/>
      <c r="K16" s="10"/>
      <c r="L16" s="10">
        <v>3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>
        <v>3</v>
      </c>
      <c r="X16" s="10"/>
      <c r="Y16" s="10"/>
      <c r="Z16" s="10"/>
      <c r="AA16" s="12">
        <f>SUM(G16:Z16)</f>
        <v>9</v>
      </c>
    </row>
    <row r="18" spans="1:27" ht="39.950000000000003" customHeight="1" x14ac:dyDescent="0.25">
      <c r="A18" s="11">
        <v>6</v>
      </c>
      <c r="B18" s="15" t="s">
        <v>32</v>
      </c>
      <c r="C18" s="15"/>
      <c r="D18" s="15"/>
      <c r="E18" s="15"/>
      <c r="F18" s="11" t="s">
        <v>26</v>
      </c>
      <c r="G18" s="11"/>
      <c r="H18" s="11">
        <v>1</v>
      </c>
      <c r="I18" s="11"/>
      <c r="J18" s="11">
        <v>1</v>
      </c>
      <c r="K18" s="11"/>
      <c r="L18" s="11"/>
      <c r="M18" s="11">
        <v>1</v>
      </c>
      <c r="N18" s="11"/>
      <c r="O18" s="11">
        <v>1</v>
      </c>
      <c r="P18" s="11">
        <v>1</v>
      </c>
      <c r="Q18" s="11">
        <v>1</v>
      </c>
      <c r="R18" s="11"/>
      <c r="S18" s="11">
        <v>1</v>
      </c>
      <c r="T18" s="11">
        <v>1</v>
      </c>
      <c r="U18" s="11">
        <v>1</v>
      </c>
      <c r="V18" s="11"/>
      <c r="W18" s="11"/>
      <c r="X18" s="11">
        <v>1</v>
      </c>
      <c r="Y18" s="11">
        <v>1</v>
      </c>
      <c r="Z18" s="11">
        <v>1</v>
      </c>
      <c r="AA18" s="12">
        <f>SUM(G18:Z18)</f>
        <v>12</v>
      </c>
    </row>
    <row r="20" spans="1:27" ht="39.950000000000003" customHeight="1" x14ac:dyDescent="0.25">
      <c r="A20" s="11">
        <v>7</v>
      </c>
      <c r="B20" s="15" t="s">
        <v>33</v>
      </c>
      <c r="C20" s="15"/>
      <c r="D20" s="15"/>
      <c r="E20" s="15"/>
      <c r="F20" s="11" t="s">
        <v>26</v>
      </c>
      <c r="G20" s="11">
        <v>1</v>
      </c>
      <c r="H20" s="11"/>
      <c r="I20" s="11">
        <v>1</v>
      </c>
      <c r="J20" s="11"/>
      <c r="K20" s="11">
        <v>1</v>
      </c>
      <c r="L20" s="11"/>
      <c r="M20" s="11"/>
      <c r="N20" s="11"/>
      <c r="O20" s="11"/>
      <c r="P20" s="11"/>
      <c r="Q20" s="11"/>
      <c r="R20" s="11">
        <v>1</v>
      </c>
      <c r="S20" s="11"/>
      <c r="T20" s="11"/>
      <c r="U20" s="11"/>
      <c r="V20" s="11">
        <v>1</v>
      </c>
      <c r="W20" s="11"/>
      <c r="X20" s="11"/>
      <c r="Y20" s="11"/>
      <c r="Z20" s="11"/>
      <c r="AA20" s="12">
        <f>SUM(G20:Z20)</f>
        <v>5</v>
      </c>
    </row>
    <row r="22" spans="1:27" ht="39.950000000000003" customHeight="1" x14ac:dyDescent="0.25">
      <c r="A22" s="11">
        <v>8</v>
      </c>
      <c r="B22" s="15" t="s">
        <v>34</v>
      </c>
      <c r="C22" s="15"/>
      <c r="D22" s="15"/>
      <c r="E22" s="15"/>
      <c r="F22" s="11" t="s">
        <v>26</v>
      </c>
      <c r="G22" s="11"/>
      <c r="H22" s="11"/>
      <c r="I22" s="11"/>
      <c r="J22" s="11"/>
      <c r="K22" s="11"/>
      <c r="L22" s="11">
        <v>1</v>
      </c>
      <c r="M22" s="11"/>
      <c r="N22" s="11">
        <v>1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>
        <f>SUM(G22:Z22)</f>
        <v>2</v>
      </c>
    </row>
    <row r="24" spans="1:27" ht="39.950000000000003" customHeight="1" x14ac:dyDescent="0.25">
      <c r="A24" s="11">
        <v>9</v>
      </c>
      <c r="B24" s="15" t="s">
        <v>51</v>
      </c>
      <c r="C24" s="15"/>
      <c r="D24" s="15"/>
      <c r="E24" s="15"/>
      <c r="F24" s="11" t="s">
        <v>26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>
        <v>1</v>
      </c>
      <c r="X24" s="11"/>
      <c r="Y24" s="11"/>
      <c r="Z24" s="11"/>
      <c r="AA24" s="12">
        <f>SUM(G24:Z24)</f>
        <v>1</v>
      </c>
    </row>
    <row r="26" spans="1:27" ht="50.1" customHeight="1" x14ac:dyDescent="0.25">
      <c r="A26" s="11">
        <v>10</v>
      </c>
      <c r="B26" s="15" t="s">
        <v>35</v>
      </c>
      <c r="C26" s="15"/>
      <c r="D26" s="15"/>
      <c r="E26" s="15"/>
      <c r="F26" s="11" t="s">
        <v>26</v>
      </c>
      <c r="G26" s="11">
        <v>1</v>
      </c>
      <c r="H26" s="11">
        <v>1</v>
      </c>
      <c r="I26" s="11">
        <v>1</v>
      </c>
      <c r="J26" s="11">
        <v>1</v>
      </c>
      <c r="K26" s="11">
        <v>1</v>
      </c>
      <c r="L26" s="11">
        <v>1</v>
      </c>
      <c r="M26" s="11">
        <v>1</v>
      </c>
      <c r="N26" s="11">
        <v>1</v>
      </c>
      <c r="O26" s="11">
        <v>1</v>
      </c>
      <c r="P26" s="11">
        <v>1</v>
      </c>
      <c r="Q26" s="11">
        <v>1</v>
      </c>
      <c r="R26" s="11">
        <v>1</v>
      </c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2">
        <f>SUM(G26:Z26)</f>
        <v>20</v>
      </c>
    </row>
    <row r="28" spans="1:27" ht="30" customHeight="1" x14ac:dyDescent="0.25">
      <c r="A28" s="11">
        <v>11</v>
      </c>
      <c r="B28" s="16" t="s">
        <v>36</v>
      </c>
      <c r="C28" s="16"/>
      <c r="D28" s="16"/>
      <c r="E28" s="16"/>
      <c r="F28" s="11" t="s">
        <v>26</v>
      </c>
      <c r="G28" s="11"/>
      <c r="H28" s="11">
        <v>1</v>
      </c>
      <c r="I28" s="11">
        <v>1</v>
      </c>
      <c r="J28" s="11">
        <v>1</v>
      </c>
      <c r="K28" s="11">
        <v>1</v>
      </c>
      <c r="L28" s="11"/>
      <c r="M28" s="11">
        <v>1</v>
      </c>
      <c r="N28" s="11">
        <v>1</v>
      </c>
      <c r="O28" s="11">
        <v>1</v>
      </c>
      <c r="P28" s="11">
        <v>1</v>
      </c>
      <c r="Q28" s="11">
        <v>1</v>
      </c>
      <c r="R28" s="11">
        <v>1</v>
      </c>
      <c r="S28" s="11">
        <v>1</v>
      </c>
      <c r="T28" s="11">
        <v>1</v>
      </c>
      <c r="U28" s="11">
        <v>1</v>
      </c>
      <c r="V28" s="11">
        <v>1</v>
      </c>
      <c r="W28" s="11"/>
      <c r="X28" s="11">
        <v>1</v>
      </c>
      <c r="Y28" s="11">
        <v>1</v>
      </c>
      <c r="Z28" s="11">
        <v>1</v>
      </c>
      <c r="AA28" s="12">
        <f>SUM(G28:Z28)</f>
        <v>17</v>
      </c>
    </row>
    <row r="32" spans="1:27" x14ac:dyDescent="0.25">
      <c r="A32" t="s">
        <v>37</v>
      </c>
      <c r="B32" t="s">
        <v>38</v>
      </c>
    </row>
    <row r="33" spans="2:9" x14ac:dyDescent="0.25">
      <c r="I33" t="s">
        <v>39</v>
      </c>
    </row>
    <row r="34" spans="2:9" x14ac:dyDescent="0.25">
      <c r="I34" t="s">
        <v>40</v>
      </c>
    </row>
    <row r="35" spans="2:9" x14ac:dyDescent="0.25">
      <c r="I35" t="s">
        <v>41</v>
      </c>
    </row>
    <row r="36" spans="2:9" x14ac:dyDescent="0.25">
      <c r="I36" t="s">
        <v>42</v>
      </c>
    </row>
    <row r="37" spans="2:9" x14ac:dyDescent="0.25">
      <c r="I37" t="s">
        <v>43</v>
      </c>
    </row>
    <row r="38" spans="2:9" x14ac:dyDescent="0.25">
      <c r="I38" t="s">
        <v>44</v>
      </c>
    </row>
    <row r="39" spans="2:9" x14ac:dyDescent="0.25">
      <c r="I39" t="s">
        <v>45</v>
      </c>
    </row>
    <row r="40" spans="2:9" x14ac:dyDescent="0.25">
      <c r="I40" t="s">
        <v>46</v>
      </c>
    </row>
    <row r="41" spans="2:9" x14ac:dyDescent="0.25">
      <c r="I41" t="s">
        <v>47</v>
      </c>
    </row>
    <row r="42" spans="2:9" x14ac:dyDescent="0.25">
      <c r="I42" t="s">
        <v>48</v>
      </c>
    </row>
    <row r="44" spans="2:9" x14ac:dyDescent="0.25">
      <c r="B44" t="s">
        <v>49</v>
      </c>
    </row>
    <row r="46" spans="2:9" x14ac:dyDescent="0.25">
      <c r="B46" t="s">
        <v>50</v>
      </c>
    </row>
  </sheetData>
  <mergeCells count="11">
    <mergeCell ref="B18:E18"/>
    <mergeCell ref="G5:AA5"/>
    <mergeCell ref="B8:E8"/>
    <mergeCell ref="B10:E10"/>
    <mergeCell ref="B12:E12"/>
    <mergeCell ref="B14:E14"/>
    <mergeCell ref="B20:E20"/>
    <mergeCell ref="B22:E22"/>
    <mergeCell ref="B24:E24"/>
    <mergeCell ref="B26:E26"/>
    <mergeCell ref="B28:E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Pc-Macoratti</dc:creator>
  <cp:lastModifiedBy>Perez, Sebastian</cp:lastModifiedBy>
  <dcterms:created xsi:type="dcterms:W3CDTF">2016-04-15T11:21:12Z</dcterms:created>
  <dcterms:modified xsi:type="dcterms:W3CDTF">2024-05-13T14:55:04Z</dcterms:modified>
</cp:coreProperties>
</file>